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15" yWindow="-15" windowWidth="15330" windowHeight="7950" tabRatio="843"/>
  </bookViews>
  <sheets>
    <sheet name="info" sheetId="16" r:id="rId1"/>
    <sheet name="1. fwd curve" sheetId="1" r:id="rId2"/>
    <sheet name="2. spot curve" sheetId="28" r:id="rId3"/>
  </sheets>
  <calcPr calcId="162913"/>
</workbook>
</file>

<file path=xl/sharedStrings.xml><?xml version="1.0" encoding="utf-8"?>
<sst xmlns="http://schemas.openxmlformats.org/spreadsheetml/2006/main" count="14" uniqueCount="11">
  <si>
    <t xml:space="preserve">Maturity </t>
  </si>
  <si>
    <t>months:</t>
  </si>
  <si>
    <t>years: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</si>
  <si>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</si>
  <si>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</si>
  <si>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</si>
  <si>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</si>
  <si>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Bank of England UK OIS curve data</t>
  </si>
  <si>
    <t>UK instantaneous OIS forward curve</t>
  </si>
  <si>
    <t>UK OIS spot curve</t>
  </si>
  <si>
    <t>Sources: Bloomberg Finance L.P.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</si>
</sst>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dd\ mmm\ yy"/>
  </numFmts>
  <fonts count="12" x14ac:knownFonts="1">
    <font>
      <sz val="10"/>
      <name val="Times New Roman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15" fontId="0" fillId="0" borderId="0" xfId="0" applyNumberFormat="1" applyAlignment="1">
      <alignment horizontal="center"/>
    </xf>
    <xf numFmtId="0" fontId="5" fillId="0" borderId="0" xfId="0" applyFont="1"/>
    <xf numFmtId="15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5" fillId="0" borderId="0" xfId="0" applyNumberFormat="1" applyFont="1"/>
    <xf numFmtId="2" fontId="5" fillId="0" borderId="0" xfId="0" applyNumberFormat="1" applyFont="1"/>
    <xf numFmtId="15" fontId="5" fillId="0" borderId="0" xfId="0" applyNumberFormat="1" applyFont="1" applyAlignment="1">
      <alignment horizontal="right"/>
    </xf>
    <xf numFmtId="0" fontId="8" fillId="0" borderId="1" xfId="0" applyFont="1" applyBorder="1"/>
    <xf numFmtId="0" fontId="3" fillId="0" borderId="1" xfId="0" applyFont="1" applyBorder="1"/>
    <xf numFmtId="0" fontId="5" fillId="0" borderId="0" xfId="0" applyNumberFormat="1" applyFont="1" applyAlignment="1">
      <alignment horizontal="right"/>
    </xf>
    <xf numFmtId="0" fontId="7" fillId="0" borderId="0" xfId="0" applyNumberFormat="1" applyFont="1" applyBorder="1"/>
    <xf numFmtId="0" fontId="0" fillId="0" borderId="0" xfId="0" applyBorder="1"/>
    <xf numFmtId="2" fontId="5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2" fontId="0" fillId="0" borderId="0" xfId="0" applyNumberFormat="1"/>
    <xf numFmtId="43" fontId="0" fillId="0" borderId="0" xfId="1" applyFont="1"/>
    <xf numFmtId="43" fontId="0" fillId="0" borderId="0" xfId="0" applyNumberFormat="1"/>
    <xf numFmtId="0" fontId="7" fillId="0" borderId="0" xfId="0" applyFont="1"/>
    <xf numFmtId="0" fontId="8" fillId="2" borderId="0" xfId="0" applyFont="1" applyFill="1"/>
    <xf numFmtId="0" fontId="3" fillId="2" borderId="0" xfId="0" applyFont="1" applyFill="1"/>
    <xf numFmtId="0" fontId="9" fillId="2" borderId="0" xfId="0" applyFont="1" applyFill="1"/>
    <xf numFmtId="0" fontId="10" fillId="2" borderId="2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0" fillId="2" borderId="0" xfId="0" applyFill="1"/>
    <xf numFmtId="0" fontId="11" fillId="2" borderId="0" xfId="0" applyFont="1" applyFill="1"/>
    <xf numFmtId="0" fontId="9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21"/>
  <sheetViews>
    <sheetView showGridLines="0" tabSelected="1" workbookViewId="0">
      <selection activeCell="A10" sqref="A10"/>
    </sheetView>
  </sheetViews>
  <sheetFormatPr defaultRowHeight="12.75" x14ac:dyDescent="0.2"/>
  <cols>
    <col min="3" max="3" width="10.5" bestFit="1" customWidth="1"/>
  </cols>
  <sheetData>
    <row r="1" spans="1:13" ht="25.5" x14ac:dyDescent="0.35">
      <c r="A1" s="9" t="s">
        <v>7</v>
      </c>
      <c r="B1" s="10"/>
      <c r="C1" s="10"/>
      <c r="D1" s="10"/>
      <c r="E1" s="10"/>
      <c r="F1" s="10"/>
      <c r="G1" s="10"/>
      <c r="H1" s="10"/>
      <c r="I1" s="1"/>
      <c r="J1" s="1"/>
      <c r="K1" s="1"/>
      <c r="L1" s="1"/>
      <c r="M1" s="1"/>
    </row>
    <row r="2" spans="1:13" ht="25.5" x14ac:dyDescent="0.35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1"/>
      <c r="M2" s="1"/>
    </row>
    <row r="3" spans="1:13" ht="15.75" x14ac:dyDescent="0.25">
      <c r="A3" s="23" t="s">
        <v>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1"/>
      <c r="M3" s="1"/>
    </row>
    <row r="4" spans="1:13" ht="15.75" x14ac:dyDescent="0.25">
      <c r="A4" s="23" t="s">
        <v>6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1"/>
      <c r="M4" s="1"/>
    </row>
    <row r="5" spans="1:13" ht="15.75" x14ac:dyDescent="0.25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2"/>
      <c r="K5" s="22"/>
      <c r="L5" s="1"/>
      <c r="M5" s="1"/>
    </row>
    <row r="6" spans="1:13" ht="15.75" x14ac:dyDescent="0.25">
      <c r="A6" s="24" t="s">
        <v>5</v>
      </c>
      <c r="B6" s="25"/>
      <c r="C6" s="25"/>
      <c r="D6" s="25"/>
      <c r="E6" s="25"/>
      <c r="F6" s="25"/>
      <c r="G6" s="25"/>
      <c r="H6" s="25"/>
      <c r="I6" s="25"/>
      <c r="J6" s="22"/>
      <c r="K6" s="22"/>
      <c r="L6" s="1"/>
      <c r="M6" s="1"/>
    </row>
    <row r="7" spans="1:13" ht="15.75" x14ac:dyDescent="0.25">
      <c r="A7" s="24"/>
      <c r="B7" s="26"/>
      <c r="C7" s="26"/>
      <c r="D7" s="26"/>
      <c r="E7" s="26"/>
      <c r="F7" s="26"/>
      <c r="G7" s="26"/>
      <c r="H7" s="26"/>
      <c r="I7" s="26"/>
      <c r="J7" s="27"/>
      <c r="K7" s="27"/>
    </row>
    <row r="8" spans="1:13" ht="15.75" x14ac:dyDescent="0.25">
      <c r="A8" s="29" t="s">
        <v>10</v>
      </c>
      <c r="B8" s="27"/>
      <c r="C8" s="27"/>
      <c r="D8" s="27"/>
      <c r="E8" s="27"/>
      <c r="F8" s="27"/>
      <c r="G8" s="27"/>
      <c r="H8" s="27"/>
      <c r="I8" s="27"/>
      <c r="J8" s="27"/>
      <c r="K8" s="2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I3870"/>
  <sheetViews>
    <sheetView showGridLines="0" zoomScale="70" zoomScaleNormal="70" workbookViewId="0">
      <pane xSplit="1" ySplit="4" topLeftCell="B1767" activePane="bottomRight" state="frozen"/>
      <selection pane="topRight" activeCell="B1" sqref="B1"/>
      <selection pane="bottomLeft" activeCell="A4" sqref="A4"/>
      <selection pane="bottomRight" activeCell="C2" sqref="C2"/>
    </sheetView>
  </sheetViews>
  <sheetFormatPr defaultRowHeight="12.75" x14ac:dyDescent="0.2"/>
  <cols>
    <col min="1" max="1" width="14.5" style="2" customWidth="1"/>
  </cols>
  <sheetData>
    <row r="1" spans="1:61" ht="18.75" x14ac:dyDescent="0.3">
      <c r="B1" s="12" t="s">
        <v>8</v>
      </c>
      <c r="C1" s="13"/>
      <c r="D1" s="13"/>
      <c r="E1" s="13"/>
      <c r="F1" s="13"/>
      <c r="G1" s="13"/>
    </row>
    <row r="2" spans="1:61" x14ac:dyDescent="0.2">
      <c r="A2" s="11" t="s">
        <v>0</v>
      </c>
    </row>
    <row r="3" spans="1:61" s="3" customFormat="1" x14ac:dyDescent="0.2">
      <c r="A3" s="8" t="s">
        <v>1</v>
      </c>
      <c r="B3" s="6">
        <f>B4*12</f>
        <v>1</v>
      </c>
      <c r="C3" s="6">
        <f>C4*12</f>
        <v>2</v>
      </c>
      <c r="D3" s="6">
        <f t="shared" ref="D3:BI3" si="0">D4*12</f>
        <v>3</v>
      </c>
      <c r="E3" s="6">
        <f t="shared" si="0"/>
        <v>4</v>
      </c>
      <c r="F3" s="6">
        <f t="shared" si="0"/>
        <v>5</v>
      </c>
      <c r="G3" s="6">
        <f t="shared" si="0"/>
        <v>5.9999999999999991</v>
      </c>
      <c r="H3" s="6">
        <f t="shared" si="0"/>
        <v>6.9999999999999991</v>
      </c>
      <c r="I3" s="6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6">
        <f t="shared" si="0"/>
        <v>13</v>
      </c>
      <c r="O3" s="6">
        <f t="shared" si="0"/>
        <v>13.999999999999998</v>
      </c>
      <c r="P3" s="6">
        <f t="shared" si="0"/>
        <v>14.999999999999996</v>
      </c>
      <c r="Q3" s="6">
        <f t="shared" si="0"/>
        <v>15.999999999999996</v>
      </c>
      <c r="R3" s="6">
        <f t="shared" si="0"/>
        <v>16.999999999999996</v>
      </c>
      <c r="S3" s="6">
        <f t="shared" si="0"/>
        <v>17.999999999999993</v>
      </c>
      <c r="T3" s="6">
        <f t="shared" si="0"/>
        <v>18.999999999999993</v>
      </c>
      <c r="U3" s="6">
        <f t="shared" si="0"/>
        <v>19.999999999999993</v>
      </c>
      <c r="V3" s="6">
        <f t="shared" si="0"/>
        <v>20.999999999999993</v>
      </c>
      <c r="W3" s="6">
        <f t="shared" si="0"/>
        <v>21.999999999999993</v>
      </c>
      <c r="X3" s="6">
        <f t="shared" si="0"/>
        <v>22.999999999999989</v>
      </c>
      <c r="Y3" s="6">
        <f t="shared" si="0"/>
        <v>23.999999999999989</v>
      </c>
      <c r="Z3" s="6">
        <f t="shared" si="0"/>
        <v>24.999999999999993</v>
      </c>
      <c r="AA3" s="6">
        <f t="shared" si="0"/>
        <v>25.999999999999993</v>
      </c>
      <c r="AB3" s="6">
        <f t="shared" si="0"/>
        <v>26.999999999999993</v>
      </c>
      <c r="AC3" s="6">
        <f t="shared" si="0"/>
        <v>27.999999999999996</v>
      </c>
      <c r="AD3" s="6">
        <f t="shared" si="0"/>
        <v>29</v>
      </c>
      <c r="AE3" s="6">
        <f t="shared" si="0"/>
        <v>30</v>
      </c>
      <c r="AF3" s="6">
        <f t="shared" si="0"/>
        <v>31</v>
      </c>
      <c r="AG3" s="6">
        <f t="shared" si="0"/>
        <v>32</v>
      </c>
      <c r="AH3" s="6">
        <f t="shared" si="0"/>
        <v>33.000000000000007</v>
      </c>
      <c r="AI3" s="6">
        <f t="shared" si="0"/>
        <v>34.000000000000007</v>
      </c>
      <c r="AJ3" s="6">
        <f t="shared" si="0"/>
        <v>35.000000000000007</v>
      </c>
      <c r="AK3" s="6">
        <f t="shared" si="0"/>
        <v>36.000000000000014</v>
      </c>
      <c r="AL3" s="6">
        <f t="shared" si="0"/>
        <v>37.000000000000014</v>
      </c>
      <c r="AM3" s="6">
        <f t="shared" si="0"/>
        <v>38.000000000000014</v>
      </c>
      <c r="AN3" s="6">
        <f t="shared" si="0"/>
        <v>39.000000000000014</v>
      </c>
      <c r="AO3" s="6">
        <f t="shared" si="0"/>
        <v>40.000000000000014</v>
      </c>
      <c r="AP3" s="6">
        <f t="shared" si="0"/>
        <v>41.000000000000021</v>
      </c>
      <c r="AQ3" s="6">
        <f t="shared" si="0"/>
        <v>42.000000000000021</v>
      </c>
      <c r="AR3" s="6">
        <f t="shared" si="0"/>
        <v>43.000000000000021</v>
      </c>
      <c r="AS3" s="6">
        <f t="shared" si="0"/>
        <v>44.000000000000028</v>
      </c>
      <c r="AT3" s="6">
        <f t="shared" si="0"/>
        <v>45.000000000000028</v>
      </c>
      <c r="AU3" s="6">
        <f t="shared" si="0"/>
        <v>46.000000000000028</v>
      </c>
      <c r="AV3" s="6">
        <f t="shared" si="0"/>
        <v>47.000000000000028</v>
      </c>
      <c r="AW3" s="6">
        <f t="shared" si="0"/>
        <v>48.000000000000028</v>
      </c>
      <c r="AX3" s="6">
        <f t="shared" si="0"/>
        <v>49.000000000000028</v>
      </c>
      <c r="AY3" s="6">
        <f t="shared" si="0"/>
        <v>50.000000000000028</v>
      </c>
      <c r="AZ3" s="6">
        <f t="shared" si="0"/>
        <v>51.000000000000021</v>
      </c>
      <c r="BA3" s="6">
        <f t="shared" si="0"/>
        <v>52.000000000000014</v>
      </c>
      <c r="BB3" s="6">
        <f t="shared" si="0"/>
        <v>53.000000000000014</v>
      </c>
      <c r="BC3" s="6">
        <f t="shared" si="0"/>
        <v>54.000000000000014</v>
      </c>
      <c r="BD3" s="6">
        <f t="shared" si="0"/>
        <v>55.000000000000007</v>
      </c>
      <c r="BE3" s="6">
        <f t="shared" si="0"/>
        <v>56</v>
      </c>
      <c r="BF3" s="6">
        <f t="shared" si="0"/>
        <v>57</v>
      </c>
      <c r="BG3" s="6">
        <f t="shared" si="0"/>
        <v>58</v>
      </c>
      <c r="BH3" s="6">
        <f t="shared" si="0"/>
        <v>58.999999999999993</v>
      </c>
      <c r="BI3" s="6">
        <f t="shared" si="0"/>
        <v>59.999999999999986</v>
      </c>
    </row>
    <row r="4" spans="1:61" s="7" customFormat="1" x14ac:dyDescent="0.2">
      <c r="A4" s="8" t="s">
        <v>2</v>
      </c>
      <c r="B4" s="7">
        <f>1/12</f>
        <v>8.3333333333333329E-2</v>
      </c>
      <c r="C4" s="14">
        <f>B4+1/12</f>
        <v>0.16666666666666666</v>
      </c>
      <c r="D4" s="14">
        <f t="shared" ref="D4:BI4" si="1">C4+1/12</f>
        <v>0.25</v>
      </c>
      <c r="E4" s="14">
        <f t="shared" si="1"/>
        <v>0.33333333333333331</v>
      </c>
      <c r="F4" s="14">
        <f t="shared" si="1"/>
        <v>0.41666666666666663</v>
      </c>
      <c r="G4" s="14">
        <f t="shared" si="1"/>
        <v>0.49999999999999994</v>
      </c>
      <c r="H4" s="14">
        <f t="shared" si="1"/>
        <v>0.58333333333333326</v>
      </c>
      <c r="I4" s="14">
        <f t="shared" si="1"/>
        <v>0.66666666666666663</v>
      </c>
      <c r="J4" s="14">
        <f t="shared" si="1"/>
        <v>0.75</v>
      </c>
      <c r="K4" s="14">
        <f t="shared" si="1"/>
        <v>0.83333333333333337</v>
      </c>
      <c r="L4" s="14">
        <f t="shared" si="1"/>
        <v>0.91666666666666674</v>
      </c>
      <c r="M4" s="14">
        <f t="shared" si="1"/>
        <v>1</v>
      </c>
      <c r="N4" s="14">
        <f t="shared" si="1"/>
        <v>1.0833333333333333</v>
      </c>
      <c r="O4" s="14">
        <f t="shared" si="1"/>
        <v>1.1666666666666665</v>
      </c>
      <c r="P4" s="14">
        <f t="shared" si="1"/>
        <v>1.2499999999999998</v>
      </c>
      <c r="Q4" s="14">
        <f t="shared" si="1"/>
        <v>1.333333333333333</v>
      </c>
      <c r="R4" s="14">
        <f t="shared" si="1"/>
        <v>1.4166666666666663</v>
      </c>
      <c r="S4" s="14">
        <f t="shared" si="1"/>
        <v>1.4999999999999996</v>
      </c>
      <c r="T4" s="14">
        <f t="shared" si="1"/>
        <v>1.5833333333333328</v>
      </c>
      <c r="U4" s="14">
        <f t="shared" si="1"/>
        <v>1.6666666666666661</v>
      </c>
      <c r="V4" s="14">
        <f t="shared" si="1"/>
        <v>1.7499999999999993</v>
      </c>
      <c r="W4" s="14">
        <f t="shared" si="1"/>
        <v>1.8333333333333326</v>
      </c>
      <c r="X4" s="14">
        <f t="shared" si="1"/>
        <v>1.9166666666666659</v>
      </c>
      <c r="Y4" s="14">
        <f t="shared" si="1"/>
        <v>1.9999999999999991</v>
      </c>
      <c r="Z4" s="14">
        <f t="shared" si="1"/>
        <v>2.0833333333333326</v>
      </c>
      <c r="AA4" s="14">
        <f t="shared" si="1"/>
        <v>2.1666666666666661</v>
      </c>
      <c r="AB4" s="14">
        <f t="shared" si="1"/>
        <v>2.2499999999999996</v>
      </c>
      <c r="AC4" s="14">
        <f t="shared" si="1"/>
        <v>2.333333333333333</v>
      </c>
      <c r="AD4" s="14">
        <f t="shared" si="1"/>
        <v>2.4166666666666665</v>
      </c>
      <c r="AE4" s="14">
        <f t="shared" si="1"/>
        <v>2.5</v>
      </c>
      <c r="AF4" s="14">
        <f t="shared" si="1"/>
        <v>2.5833333333333335</v>
      </c>
      <c r="AG4" s="14">
        <f t="shared" si="1"/>
        <v>2.666666666666667</v>
      </c>
      <c r="AH4" s="14">
        <f t="shared" si="1"/>
        <v>2.7500000000000004</v>
      </c>
      <c r="AI4" s="14">
        <f t="shared" si="1"/>
        <v>2.8333333333333339</v>
      </c>
      <c r="AJ4" s="14">
        <f t="shared" si="1"/>
        <v>2.9166666666666674</v>
      </c>
      <c r="AK4" s="14">
        <f t="shared" si="1"/>
        <v>3.0000000000000009</v>
      </c>
      <c r="AL4" s="14">
        <f t="shared" si="1"/>
        <v>3.0833333333333344</v>
      </c>
      <c r="AM4" s="14">
        <f t="shared" si="1"/>
        <v>3.1666666666666679</v>
      </c>
      <c r="AN4" s="14">
        <f t="shared" si="1"/>
        <v>3.2500000000000013</v>
      </c>
      <c r="AO4" s="14">
        <f t="shared" si="1"/>
        <v>3.3333333333333348</v>
      </c>
      <c r="AP4" s="14">
        <f t="shared" si="1"/>
        <v>3.4166666666666683</v>
      </c>
      <c r="AQ4" s="14">
        <f t="shared" si="1"/>
        <v>3.5000000000000018</v>
      </c>
      <c r="AR4" s="14">
        <f t="shared" si="1"/>
        <v>3.5833333333333353</v>
      </c>
      <c r="AS4" s="14">
        <f t="shared" si="1"/>
        <v>3.6666666666666687</v>
      </c>
      <c r="AT4" s="14">
        <f t="shared" si="1"/>
        <v>3.7500000000000022</v>
      </c>
      <c r="AU4" s="14">
        <f t="shared" si="1"/>
        <v>3.8333333333333357</v>
      </c>
      <c r="AV4" s="14">
        <f t="shared" si="1"/>
        <v>3.9166666666666692</v>
      </c>
      <c r="AW4" s="14">
        <f t="shared" si="1"/>
        <v>4.0000000000000027</v>
      </c>
      <c r="AX4" s="14">
        <f t="shared" si="1"/>
        <v>4.0833333333333357</v>
      </c>
      <c r="AY4" s="14">
        <f t="shared" si="1"/>
        <v>4.1666666666666687</v>
      </c>
      <c r="AZ4" s="14">
        <f t="shared" si="1"/>
        <v>4.2500000000000018</v>
      </c>
      <c r="BA4" s="14">
        <f t="shared" si="1"/>
        <v>4.3333333333333348</v>
      </c>
      <c r="BB4" s="14">
        <f t="shared" si="1"/>
        <v>4.4166666666666679</v>
      </c>
      <c r="BC4" s="14">
        <f t="shared" si="1"/>
        <v>4.5000000000000009</v>
      </c>
      <c r="BD4" s="14">
        <f t="shared" si="1"/>
        <v>4.5833333333333339</v>
      </c>
      <c r="BE4" s="14">
        <f t="shared" si="1"/>
        <v>4.666666666666667</v>
      </c>
      <c r="BF4" s="14">
        <f t="shared" si="1"/>
        <v>4.75</v>
      </c>
      <c r="BG4" s="14">
        <f t="shared" si="1"/>
        <v>4.833333333333333</v>
      </c>
      <c r="BH4" s="14">
        <f t="shared" si="1"/>
        <v>4.9166666666666661</v>
      </c>
      <c r="BI4" s="14">
        <f t="shared" si="1"/>
        <v>4.9999999999999991</v>
      </c>
    </row>
    <row r="5" spans="1:61" s="5" customFormat="1" x14ac:dyDescent="0.2">
      <c r="A5" s="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</row>
    <row r="6" spans="1:61" x14ac:dyDescent="0.2">
      <c r="A6" s="16">
        <v>39814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x14ac:dyDescent="0.2">
      <c r="A7" s="16">
        <v>39815</v>
      </c>
      <c r="B7" s="17">
        <v>1.1651593367803785</v>
      </c>
      <c r="C7" s="17">
        <v>0.96992133803651126</v>
      </c>
      <c r="D7" s="17">
        <v>0.83505946502133466</v>
      </c>
      <c r="E7" s="17">
        <v>0.75677834159178137</v>
      </c>
      <c r="F7" s="17">
        <v>0.72405487542431768</v>
      </c>
      <c r="G7" s="17">
        <v>0.72346345964716829</v>
      </c>
      <c r="H7" s="17">
        <v>0.74665208467195865</v>
      </c>
      <c r="I7" s="17">
        <v>0.79076569013092834</v>
      </c>
      <c r="J7" s="17">
        <v>0.85552829312502132</v>
      </c>
      <c r="K7" s="17">
        <v>0.94039849091898697</v>
      </c>
      <c r="L7" s="17">
        <v>1.0436170277088814</v>
      </c>
      <c r="M7" s="17">
        <v>1.1615714582945409</v>
      </c>
      <c r="N7" s="17">
        <v>1.288115588759065</v>
      </c>
      <c r="O7" s="17">
        <v>1.4197735208853171</v>
      </c>
      <c r="P7" s="17">
        <v>1.5540985861689733</v>
      </c>
      <c r="Q7" s="17">
        <v>1.6886443580444732</v>
      </c>
      <c r="R7" s="17">
        <v>1.8209644099462574</v>
      </c>
      <c r="S7" s="17">
        <v>1.9486123623102369</v>
      </c>
      <c r="T7" s="17">
        <v>2.0695944311147998</v>
      </c>
      <c r="U7" s="17">
        <v>2.183478846331405</v>
      </c>
      <c r="V7" s="17">
        <v>2.2901705686532194</v>
      </c>
      <c r="W7" s="17">
        <v>2.3895745587734525</v>
      </c>
      <c r="X7" s="17">
        <v>2.4815957773853095</v>
      </c>
      <c r="Y7" s="17">
        <v>2.5661391851819606</v>
      </c>
      <c r="Z7" s="17">
        <v>2.6431849870140001</v>
      </c>
      <c r="AA7" s="17">
        <v>2.7130801762516468</v>
      </c>
      <c r="AB7" s="17">
        <v>2.7762833426914457</v>
      </c>
      <c r="AC7" s="17">
        <v>2.8332531023627037</v>
      </c>
      <c r="AD7" s="17">
        <v>2.8844480712947176</v>
      </c>
      <c r="AE7" s="17">
        <v>2.9303268655167707</v>
      </c>
      <c r="AF7" s="17">
        <v>2.9713481010581666</v>
      </c>
      <c r="AG7" s="17">
        <v>3.007970393948201</v>
      </c>
      <c r="AH7" s="17">
        <v>3.0406523602161584</v>
      </c>
      <c r="AI7" s="17">
        <v>3.0698526158913424</v>
      </c>
      <c r="AJ7" s="17">
        <v>3.0960297770030469</v>
      </c>
      <c r="AK7" s="17">
        <v>3.1196424595805623</v>
      </c>
      <c r="AL7" s="17">
        <v>3.1411011839233414</v>
      </c>
      <c r="AM7" s="17">
        <v>3.1606041322534346</v>
      </c>
      <c r="AN7" s="17">
        <v>3.1782909066498699</v>
      </c>
      <c r="AO7" s="17">
        <v>3.1943011073022727</v>
      </c>
      <c r="AP7" s="17">
        <v>3.2087743344002684</v>
      </c>
      <c r="AQ7" s="17">
        <v>3.221850188133478</v>
      </c>
      <c r="AR7" s="17">
        <v>3.2336682686915275</v>
      </c>
      <c r="AS7" s="17">
        <v>3.2443681762640368</v>
      </c>
      <c r="AT7" s="17">
        <v>3.2540895110406325</v>
      </c>
      <c r="AU7" s="17">
        <v>3.2629718732109381</v>
      </c>
      <c r="AV7" s="17">
        <v>3.2711548629645759</v>
      </c>
      <c r="AW7" s="17">
        <v>3.2787780804911701</v>
      </c>
      <c r="AX7" s="17">
        <v>3.285963267948079</v>
      </c>
      <c r="AY7" s="17">
        <v>3.292753325976959</v>
      </c>
      <c r="AZ7" s="17">
        <v>3.2991694043054678</v>
      </c>
      <c r="BA7" s="17">
        <v>3.3052326519597157</v>
      </c>
      <c r="BB7" s="17">
        <v>3.3109642179658136</v>
      </c>
      <c r="BC7" s="17">
        <v>3.3163852513498715</v>
      </c>
      <c r="BD7" s="17">
        <v>3.3215169011379997</v>
      </c>
      <c r="BE7" s="17">
        <v>3.3263803163563086</v>
      </c>
      <c r="BF7" s="17">
        <v>3.3309966460309095</v>
      </c>
      <c r="BG7" s="17">
        <v>3.3353870391879119</v>
      </c>
      <c r="BH7" s="17">
        <v>3.3395726448534271</v>
      </c>
      <c r="BI7" s="17">
        <v>3.3435746120535654</v>
      </c>
    </row>
    <row r="8" spans="1:61" x14ac:dyDescent="0.2">
      <c r="A8" s="16">
        <v>39818</v>
      </c>
      <c r="B8" s="17">
        <v>1.1042020118977609</v>
      </c>
      <c r="C8" s="17">
        <v>0.9294264967482545</v>
      </c>
      <c r="D8" s="17">
        <v>0.81698064172564355</v>
      </c>
      <c r="E8" s="17">
        <v>0.7585112625690309</v>
      </c>
      <c r="F8" s="17">
        <v>0.74032393417886422</v>
      </c>
      <c r="G8" s="17">
        <v>0.75167461249467804</v>
      </c>
      <c r="H8" s="17">
        <v>0.78381073812920177</v>
      </c>
      <c r="I8" s="17">
        <v>0.83339907997865026</v>
      </c>
      <c r="J8" s="17">
        <v>0.90089198142718296</v>
      </c>
      <c r="K8" s="17">
        <v>0.98629607470995984</v>
      </c>
      <c r="L8" s="17">
        <v>1.0886383076319792</v>
      </c>
      <c r="M8" s="17">
        <v>1.2046644723658007</v>
      </c>
      <c r="N8" s="17">
        <v>1.329393231406693</v>
      </c>
      <c r="O8" s="17">
        <v>1.4597886775845135</v>
      </c>
      <c r="P8" s="17">
        <v>1.5934379162061678</v>
      </c>
      <c r="Q8" s="17">
        <v>1.7279280525786207</v>
      </c>
      <c r="R8" s="17">
        <v>1.8608461920088348</v>
      </c>
      <c r="S8" s="17">
        <v>1.9897794833261602</v>
      </c>
      <c r="T8" s="17">
        <v>2.1127341695155919</v>
      </c>
      <c r="U8" s="17">
        <v>2.2291628863655455</v>
      </c>
      <c r="V8" s="17">
        <v>2.3388300753811131</v>
      </c>
      <c r="W8" s="17">
        <v>2.4415001780674341</v>
      </c>
      <c r="X8" s="17">
        <v>2.5369376359296418</v>
      </c>
      <c r="Y8" s="17">
        <v>2.6249068904728343</v>
      </c>
      <c r="Z8" s="17">
        <v>2.7052870333711145</v>
      </c>
      <c r="AA8" s="17">
        <v>2.7784157569743733</v>
      </c>
      <c r="AB8" s="17">
        <v>2.8447454038014621</v>
      </c>
      <c r="AC8" s="17">
        <v>2.9047283163712483</v>
      </c>
      <c r="AD8" s="17">
        <v>2.9588168372026007</v>
      </c>
      <c r="AE8" s="17">
        <v>3.0074633088143625</v>
      </c>
      <c r="AF8" s="17">
        <v>3.0511200737254005</v>
      </c>
      <c r="AG8" s="17">
        <v>3.0902394744545791</v>
      </c>
      <c r="AH8" s="17">
        <v>3.1252738535207505</v>
      </c>
      <c r="AI8" s="17">
        <v>3.1566755534427755</v>
      </c>
      <c r="AJ8" s="17">
        <v>3.1848969167395174</v>
      </c>
      <c r="AK8" s="17">
        <v>3.2103902859298303</v>
      </c>
      <c r="AL8" s="17">
        <v>3.2335587007272482</v>
      </c>
      <c r="AM8" s="17">
        <v>3.2546079896240552</v>
      </c>
      <c r="AN8" s="17">
        <v>3.2736946783071867</v>
      </c>
      <c r="AO8" s="17">
        <v>3.2909752924635911</v>
      </c>
      <c r="AP8" s="17">
        <v>3.3066063577802134</v>
      </c>
      <c r="AQ8" s="17">
        <v>3.3207443999439978</v>
      </c>
      <c r="AR8" s="17">
        <v>3.3335459446418962</v>
      </c>
      <c r="AS8" s="17">
        <v>3.3451675175608484</v>
      </c>
      <c r="AT8" s="17">
        <v>3.3557656443878034</v>
      </c>
      <c r="AU8" s="17">
        <v>3.3654968508097092</v>
      </c>
      <c r="AV8" s="17">
        <v>3.3745176625135098</v>
      </c>
      <c r="AW8" s="17">
        <v>3.3829846051861518</v>
      </c>
      <c r="AX8" s="17">
        <v>3.3910380361251815</v>
      </c>
      <c r="AY8" s="17">
        <v>3.3987312261300437</v>
      </c>
      <c r="AZ8" s="17">
        <v>3.4060882547019409</v>
      </c>
      <c r="BA8" s="17">
        <v>3.4131331801591376</v>
      </c>
      <c r="BB8" s="17">
        <v>3.4198900608198968</v>
      </c>
      <c r="BC8" s="17">
        <v>3.4263829550024836</v>
      </c>
      <c r="BD8" s="17">
        <v>3.4326359210251596</v>
      </c>
      <c r="BE8" s="17">
        <v>3.4386730172061917</v>
      </c>
      <c r="BF8" s="17">
        <v>3.4445183018638414</v>
      </c>
      <c r="BG8" s="17">
        <v>3.450195833316374</v>
      </c>
      <c r="BH8" s="17">
        <v>3.4557296698820532</v>
      </c>
      <c r="BI8" s="17">
        <v>3.4611438698791424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BI3870"/>
  <sheetViews>
    <sheetView showGridLines="0" zoomScale="70" zoomScaleNormal="70" workbookViewId="0">
      <pane xSplit="1" ySplit="4" topLeftCell="B1747" activePane="bottomRight" state="frozen"/>
      <selection activeCell="A5" sqref="A5"/>
      <selection pane="topRight" activeCell="A5" sqref="A5"/>
      <selection pane="bottomLeft" activeCell="A5" sqref="A5"/>
      <selection pane="bottomRight" activeCell="BI3" sqref="BI3"/>
    </sheetView>
  </sheetViews>
  <sheetFormatPr defaultRowHeight="12.75" x14ac:dyDescent="0.2"/>
  <cols>
    <col min="1" max="1" width="14.5" style="2" customWidth="1"/>
  </cols>
  <sheetData>
    <row r="1" spans="1:61" ht="18.75" x14ac:dyDescent="0.3">
      <c r="B1" s="20" t="s">
        <v>9</v>
      </c>
      <c r="C1" s="13"/>
      <c r="D1" s="13"/>
      <c r="E1" s="13"/>
      <c r="F1" s="13"/>
      <c r="G1" s="13"/>
    </row>
    <row r="2" spans="1:61" x14ac:dyDescent="0.2">
      <c r="A2" s="11" t="s">
        <v>0</v>
      </c>
    </row>
    <row r="3" spans="1:61" s="3" customFormat="1" x14ac:dyDescent="0.2">
      <c r="A3" s="8" t="s">
        <v>1</v>
      </c>
      <c r="B3" s="11">
        <f>B4*12</f>
        <v>1</v>
      </c>
      <c r="C3" s="11">
        <f>C4*12</f>
        <v>2</v>
      </c>
      <c r="D3" s="11">
        <f t="shared" ref="D3:BI3" si="0">D4*12</f>
        <v>3</v>
      </c>
      <c r="E3" s="11">
        <f t="shared" si="0"/>
        <v>4</v>
      </c>
      <c r="F3" s="11">
        <f t="shared" si="0"/>
        <v>5</v>
      </c>
      <c r="G3" s="11">
        <f t="shared" si="0"/>
        <v>5.9999999999999991</v>
      </c>
      <c r="H3" s="11">
        <f t="shared" si="0"/>
        <v>6.9999999999999991</v>
      </c>
      <c r="I3" s="11">
        <f t="shared" si="0"/>
        <v>8</v>
      </c>
      <c r="J3" s="11">
        <f t="shared" si="0"/>
        <v>9</v>
      </c>
      <c r="K3" s="11">
        <f t="shared" si="0"/>
        <v>10</v>
      </c>
      <c r="L3" s="11">
        <f t="shared" si="0"/>
        <v>11</v>
      </c>
      <c r="M3" s="11">
        <f t="shared" si="0"/>
        <v>12</v>
      </c>
      <c r="N3" s="11">
        <f t="shared" si="0"/>
        <v>13</v>
      </c>
      <c r="O3" s="11">
        <f t="shared" si="0"/>
        <v>13.999999999999998</v>
      </c>
      <c r="P3" s="11">
        <f t="shared" si="0"/>
        <v>14.999999999999996</v>
      </c>
      <c r="Q3" s="11">
        <f t="shared" si="0"/>
        <v>15.999999999999996</v>
      </c>
      <c r="R3" s="11">
        <f t="shared" si="0"/>
        <v>16.999999999999996</v>
      </c>
      <c r="S3" s="11">
        <f t="shared" si="0"/>
        <v>17.999999999999993</v>
      </c>
      <c r="T3" s="11">
        <f t="shared" si="0"/>
        <v>18.999999999999993</v>
      </c>
      <c r="U3" s="11">
        <f t="shared" si="0"/>
        <v>19.999999999999993</v>
      </c>
      <c r="V3" s="11">
        <f t="shared" si="0"/>
        <v>20.999999999999993</v>
      </c>
      <c r="W3" s="11">
        <f t="shared" si="0"/>
        <v>21.999999999999993</v>
      </c>
      <c r="X3" s="11">
        <f t="shared" si="0"/>
        <v>22.999999999999989</v>
      </c>
      <c r="Y3" s="11">
        <f t="shared" si="0"/>
        <v>23.999999999999989</v>
      </c>
      <c r="Z3" s="11">
        <f t="shared" si="0"/>
        <v>24.999999999999993</v>
      </c>
      <c r="AA3" s="11">
        <f t="shared" si="0"/>
        <v>25.999999999999993</v>
      </c>
      <c r="AB3" s="11">
        <f t="shared" si="0"/>
        <v>26.999999999999993</v>
      </c>
      <c r="AC3" s="11">
        <f t="shared" si="0"/>
        <v>27.999999999999996</v>
      </c>
      <c r="AD3" s="11">
        <f t="shared" si="0"/>
        <v>29</v>
      </c>
      <c r="AE3" s="11">
        <f t="shared" si="0"/>
        <v>30</v>
      </c>
      <c r="AF3" s="11">
        <f t="shared" si="0"/>
        <v>31</v>
      </c>
      <c r="AG3" s="11">
        <f t="shared" si="0"/>
        <v>32</v>
      </c>
      <c r="AH3" s="11">
        <f t="shared" si="0"/>
        <v>33.000000000000007</v>
      </c>
      <c r="AI3" s="11">
        <f t="shared" si="0"/>
        <v>34.000000000000007</v>
      </c>
      <c r="AJ3" s="11">
        <f t="shared" si="0"/>
        <v>35.000000000000007</v>
      </c>
      <c r="AK3" s="11">
        <f t="shared" si="0"/>
        <v>36.000000000000014</v>
      </c>
      <c r="AL3" s="11">
        <f t="shared" si="0"/>
        <v>37.000000000000014</v>
      </c>
      <c r="AM3" s="11">
        <f t="shared" si="0"/>
        <v>38.000000000000014</v>
      </c>
      <c r="AN3" s="11">
        <f t="shared" si="0"/>
        <v>39.000000000000014</v>
      </c>
      <c r="AO3" s="11">
        <f t="shared" si="0"/>
        <v>40.000000000000014</v>
      </c>
      <c r="AP3" s="11">
        <f t="shared" si="0"/>
        <v>41.000000000000021</v>
      </c>
      <c r="AQ3" s="11">
        <f t="shared" si="0"/>
        <v>42.000000000000021</v>
      </c>
      <c r="AR3" s="11">
        <f t="shared" si="0"/>
        <v>43.000000000000021</v>
      </c>
      <c r="AS3" s="11">
        <f t="shared" si="0"/>
        <v>44.000000000000028</v>
      </c>
      <c r="AT3" s="11">
        <f t="shared" si="0"/>
        <v>45.000000000000028</v>
      </c>
      <c r="AU3" s="11">
        <f t="shared" si="0"/>
        <v>46.000000000000028</v>
      </c>
      <c r="AV3" s="11">
        <f t="shared" si="0"/>
        <v>47.000000000000028</v>
      </c>
      <c r="AW3" s="11">
        <f t="shared" si="0"/>
        <v>48.000000000000028</v>
      </c>
      <c r="AX3" s="11">
        <f t="shared" si="0"/>
        <v>49.000000000000028</v>
      </c>
      <c r="AY3" s="11">
        <f t="shared" si="0"/>
        <v>50.000000000000028</v>
      </c>
      <c r="AZ3" s="11">
        <f t="shared" si="0"/>
        <v>51.000000000000021</v>
      </c>
      <c r="BA3" s="11">
        <f t="shared" si="0"/>
        <v>52.000000000000014</v>
      </c>
      <c r="BB3" s="11">
        <f t="shared" si="0"/>
        <v>53.000000000000014</v>
      </c>
      <c r="BC3" s="11">
        <f t="shared" si="0"/>
        <v>54.000000000000014</v>
      </c>
      <c r="BD3" s="11">
        <f t="shared" si="0"/>
        <v>55.000000000000007</v>
      </c>
      <c r="BE3" s="11">
        <f t="shared" si="0"/>
        <v>56</v>
      </c>
      <c r="BF3" s="11">
        <f t="shared" si="0"/>
        <v>57</v>
      </c>
      <c r="BG3" s="11">
        <f t="shared" si="0"/>
        <v>58</v>
      </c>
      <c r="BH3" s="11">
        <f t="shared" si="0"/>
        <v>58.999999999999993</v>
      </c>
      <c r="BI3" s="11">
        <f t="shared" si="0"/>
        <v>59.999999999999986</v>
      </c>
    </row>
    <row r="4" spans="1:61" s="7" customFormat="1" x14ac:dyDescent="0.2">
      <c r="A4" s="8" t="s">
        <v>2</v>
      </c>
      <c r="B4" s="14">
        <f>1/12</f>
        <v>8.3333333333333329E-2</v>
      </c>
      <c r="C4" s="14">
        <f>B4+1/12</f>
        <v>0.16666666666666666</v>
      </c>
      <c r="D4" s="14">
        <f t="shared" ref="D4:BI4" si="1">C4+1/12</f>
        <v>0.25</v>
      </c>
      <c r="E4" s="14">
        <f t="shared" si="1"/>
        <v>0.33333333333333331</v>
      </c>
      <c r="F4" s="14">
        <f t="shared" si="1"/>
        <v>0.41666666666666663</v>
      </c>
      <c r="G4" s="14">
        <f t="shared" si="1"/>
        <v>0.49999999999999994</v>
      </c>
      <c r="H4" s="14">
        <f t="shared" si="1"/>
        <v>0.58333333333333326</v>
      </c>
      <c r="I4" s="14">
        <f t="shared" si="1"/>
        <v>0.66666666666666663</v>
      </c>
      <c r="J4" s="14">
        <f t="shared" si="1"/>
        <v>0.75</v>
      </c>
      <c r="K4" s="14">
        <f t="shared" si="1"/>
        <v>0.83333333333333337</v>
      </c>
      <c r="L4" s="14">
        <f t="shared" si="1"/>
        <v>0.91666666666666674</v>
      </c>
      <c r="M4" s="14">
        <f t="shared" si="1"/>
        <v>1</v>
      </c>
      <c r="N4" s="14">
        <f t="shared" si="1"/>
        <v>1.0833333333333333</v>
      </c>
      <c r="O4" s="14">
        <f t="shared" si="1"/>
        <v>1.1666666666666665</v>
      </c>
      <c r="P4" s="14">
        <f t="shared" si="1"/>
        <v>1.2499999999999998</v>
      </c>
      <c r="Q4" s="14">
        <f t="shared" si="1"/>
        <v>1.333333333333333</v>
      </c>
      <c r="R4" s="14">
        <f t="shared" si="1"/>
        <v>1.4166666666666663</v>
      </c>
      <c r="S4" s="14">
        <f t="shared" si="1"/>
        <v>1.4999999999999996</v>
      </c>
      <c r="T4" s="14">
        <f t="shared" si="1"/>
        <v>1.5833333333333328</v>
      </c>
      <c r="U4" s="14">
        <f t="shared" si="1"/>
        <v>1.6666666666666661</v>
      </c>
      <c r="V4" s="14">
        <f t="shared" si="1"/>
        <v>1.7499999999999993</v>
      </c>
      <c r="W4" s="14">
        <f t="shared" si="1"/>
        <v>1.8333333333333326</v>
      </c>
      <c r="X4" s="14">
        <f t="shared" si="1"/>
        <v>1.9166666666666659</v>
      </c>
      <c r="Y4" s="14">
        <f t="shared" si="1"/>
        <v>1.9999999999999991</v>
      </c>
      <c r="Z4" s="14">
        <f t="shared" si="1"/>
        <v>2.0833333333333326</v>
      </c>
      <c r="AA4" s="14">
        <f t="shared" si="1"/>
        <v>2.1666666666666661</v>
      </c>
      <c r="AB4" s="14">
        <f t="shared" si="1"/>
        <v>2.2499999999999996</v>
      </c>
      <c r="AC4" s="14">
        <f t="shared" si="1"/>
        <v>2.333333333333333</v>
      </c>
      <c r="AD4" s="14">
        <f t="shared" si="1"/>
        <v>2.4166666666666665</v>
      </c>
      <c r="AE4" s="14">
        <f t="shared" si="1"/>
        <v>2.5</v>
      </c>
      <c r="AF4" s="14">
        <f t="shared" si="1"/>
        <v>2.5833333333333335</v>
      </c>
      <c r="AG4" s="14">
        <f t="shared" si="1"/>
        <v>2.666666666666667</v>
      </c>
      <c r="AH4" s="14">
        <f t="shared" si="1"/>
        <v>2.7500000000000004</v>
      </c>
      <c r="AI4" s="14">
        <f t="shared" si="1"/>
        <v>2.8333333333333339</v>
      </c>
      <c r="AJ4" s="14">
        <f t="shared" si="1"/>
        <v>2.9166666666666674</v>
      </c>
      <c r="AK4" s="14">
        <f t="shared" si="1"/>
        <v>3.0000000000000009</v>
      </c>
      <c r="AL4" s="14">
        <f t="shared" si="1"/>
        <v>3.0833333333333344</v>
      </c>
      <c r="AM4" s="14">
        <f t="shared" si="1"/>
        <v>3.1666666666666679</v>
      </c>
      <c r="AN4" s="14">
        <f t="shared" si="1"/>
        <v>3.2500000000000013</v>
      </c>
      <c r="AO4" s="14">
        <f t="shared" si="1"/>
        <v>3.3333333333333348</v>
      </c>
      <c r="AP4" s="14">
        <f t="shared" si="1"/>
        <v>3.4166666666666683</v>
      </c>
      <c r="AQ4" s="14">
        <f t="shared" si="1"/>
        <v>3.5000000000000018</v>
      </c>
      <c r="AR4" s="14">
        <f t="shared" si="1"/>
        <v>3.5833333333333353</v>
      </c>
      <c r="AS4" s="14">
        <f t="shared" si="1"/>
        <v>3.6666666666666687</v>
      </c>
      <c r="AT4" s="14">
        <f t="shared" si="1"/>
        <v>3.7500000000000022</v>
      </c>
      <c r="AU4" s="14">
        <f t="shared" si="1"/>
        <v>3.8333333333333357</v>
      </c>
      <c r="AV4" s="14">
        <f t="shared" si="1"/>
        <v>3.9166666666666692</v>
      </c>
      <c r="AW4" s="14">
        <f t="shared" si="1"/>
        <v>4.0000000000000027</v>
      </c>
      <c r="AX4" s="14">
        <f t="shared" si="1"/>
        <v>4.0833333333333357</v>
      </c>
      <c r="AY4" s="14">
        <f t="shared" si="1"/>
        <v>4.1666666666666687</v>
      </c>
      <c r="AZ4" s="14">
        <f t="shared" si="1"/>
        <v>4.2500000000000018</v>
      </c>
      <c r="BA4" s="14">
        <f t="shared" si="1"/>
        <v>4.3333333333333348</v>
      </c>
      <c r="BB4" s="14">
        <f t="shared" si="1"/>
        <v>4.4166666666666679</v>
      </c>
      <c r="BC4" s="14">
        <f t="shared" si="1"/>
        <v>4.5000000000000009</v>
      </c>
      <c r="BD4" s="14">
        <f t="shared" si="1"/>
        <v>4.5833333333333339</v>
      </c>
      <c r="BE4" s="14">
        <f t="shared" si="1"/>
        <v>4.666666666666667</v>
      </c>
      <c r="BF4" s="14">
        <f t="shared" si="1"/>
        <v>4.75</v>
      </c>
      <c r="BG4" s="14">
        <f t="shared" si="1"/>
        <v>4.833333333333333</v>
      </c>
      <c r="BH4" s="14">
        <f t="shared" si="1"/>
        <v>4.9166666666666661</v>
      </c>
      <c r="BI4" s="14">
        <f t="shared" si="1"/>
        <v>4.9999999999999991</v>
      </c>
    </row>
    <row r="5" spans="1:61" s="5" customFormat="1" x14ac:dyDescent="0.2">
      <c r="A5" s="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</row>
    <row r="6" spans="1:61" x14ac:dyDescent="0.2">
      <c r="A6" s="16">
        <v>39814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x14ac:dyDescent="0.2">
      <c r="A7" s="16">
        <v>39815</v>
      </c>
      <c r="B7" s="17">
        <v>1.2797241573192748</v>
      </c>
      <c r="C7" s="17">
        <v>1.1714829432323193</v>
      </c>
      <c r="D7" s="17">
        <v>1.0801059148408121</v>
      </c>
      <c r="E7" s="17">
        <v>1.0079864743705711</v>
      </c>
      <c r="F7" s="17">
        <v>0.95382772621747258</v>
      </c>
      <c r="G7" s="17">
        <v>0.91511037530169237</v>
      </c>
      <c r="H7" s="17">
        <v>0.88913023957199033</v>
      </c>
      <c r="I7" s="17">
        <v>0.8738628181659841</v>
      </c>
      <c r="J7" s="17">
        <v>0.86803738180879453</v>
      </c>
      <c r="K7" s="17">
        <v>0.87086799786788793</v>
      </c>
      <c r="L7" s="17">
        <v>0.88175156554680301</v>
      </c>
      <c r="M7" s="17">
        <v>0.9000740659298706</v>
      </c>
      <c r="N7" s="17">
        <v>0.92501570255967724</v>
      </c>
      <c r="O7" s="17">
        <v>0.95563032089723909</v>
      </c>
      <c r="P7" s="17">
        <v>0.99104268129548334</v>
      </c>
      <c r="Q7" s="17">
        <v>1.0304434521101995</v>
      </c>
      <c r="R7" s="17">
        <v>1.0730698252272546</v>
      </c>
      <c r="S7" s="17">
        <v>1.1181925928919683</v>
      </c>
      <c r="T7" s="17">
        <v>1.1651135568383746</v>
      </c>
      <c r="U7" s="17">
        <v>1.2132144824877873</v>
      </c>
      <c r="V7" s="17">
        <v>1.2619865575377947</v>
      </c>
      <c r="W7" s="17">
        <v>1.3110091610452228</v>
      </c>
      <c r="X7" s="17">
        <v>1.359930691391501</v>
      </c>
      <c r="Y7" s="17">
        <v>1.4084541872566874</v>
      </c>
      <c r="Z7" s="17">
        <v>1.4563271025257372</v>
      </c>
      <c r="AA7" s="17">
        <v>1.5033418047055409</v>
      </c>
      <c r="AB7" s="17">
        <v>1.549337305236326</v>
      </c>
      <c r="AC7" s="17">
        <v>1.5941919930525241</v>
      </c>
      <c r="AD7" s="17">
        <v>1.6378168453744777</v>
      </c>
      <c r="AE7" s="17">
        <v>1.6801499963274502</v>
      </c>
      <c r="AF7" s="17">
        <v>1.7211523567956912</v>
      </c>
      <c r="AG7" s="17">
        <v>1.7608040555538371</v>
      </c>
      <c r="AH7" s="17">
        <v>1.7991015274653188</v>
      </c>
      <c r="AI7" s="17">
        <v>1.8360551155281586</v>
      </c>
      <c r="AJ7" s="17">
        <v>1.8716870839985835</v>
      </c>
      <c r="AK7" s="17">
        <v>1.9060299626607085</v>
      </c>
      <c r="AL7" s="17">
        <v>1.9391248453058938</v>
      </c>
      <c r="AM7" s="17">
        <v>1.9710165552344452</v>
      </c>
      <c r="AN7" s="17">
        <v>2.0017492858849684</v>
      </c>
      <c r="AO7" s="17">
        <v>2.0313663013573469</v>
      </c>
      <c r="AP7" s="17">
        <v>2.0599100497463465</v>
      </c>
      <c r="AQ7" s="17">
        <v>2.0874222602850687</v>
      </c>
      <c r="AR7" s="17">
        <v>2.113944026933539</v>
      </c>
      <c r="AS7" s="17">
        <v>2.1395158805688061</v>
      </c>
      <c r="AT7" s="17">
        <v>2.164177851549737</v>
      </c>
      <c r="AU7" s="17">
        <v>2.1879695241211596</v>
      </c>
      <c r="AV7" s="17">
        <v>2.2109300838727917</v>
      </c>
      <c r="AW7" s="17">
        <v>2.2330983592658344</v>
      </c>
      <c r="AX7" s="17">
        <v>2.2545127699577163</v>
      </c>
      <c r="AY7" s="17">
        <v>2.2752103214215005</v>
      </c>
      <c r="AZ7" s="17">
        <v>2.2952256415682704</v>
      </c>
      <c r="BA7" s="17">
        <v>2.3145911013357909</v>
      </c>
      <c r="BB7" s="17">
        <v>2.3333370276104124</v>
      </c>
      <c r="BC7" s="17">
        <v>2.3514918924910884</v>
      </c>
      <c r="BD7" s="17">
        <v>2.3690824819064171</v>
      </c>
      <c r="BE7" s="17">
        <v>2.3861340461655627</v>
      </c>
      <c r="BF7" s="17">
        <v>2.4026704346617134</v>
      </c>
      <c r="BG7" s="17">
        <v>2.4187142166407027</v>
      </c>
      <c r="BH7" s="17">
        <v>2.4342867896880738</v>
      </c>
      <c r="BI7" s="17">
        <v>2.4494084773674305</v>
      </c>
    </row>
    <row r="8" spans="1:61" x14ac:dyDescent="0.2">
      <c r="A8" s="16">
        <v>39818</v>
      </c>
      <c r="B8" s="17">
        <v>1.2046013057507661</v>
      </c>
      <c r="C8" s="17">
        <v>1.1084703075475182</v>
      </c>
      <c r="D8" s="17">
        <v>1.0283310762608744</v>
      </c>
      <c r="E8" s="17">
        <v>0.96721475758745834</v>
      </c>
      <c r="F8" s="17">
        <v>0.92307847731430981</v>
      </c>
      <c r="G8" s="17">
        <v>0.89322454471245194</v>
      </c>
      <c r="H8" s="17">
        <v>0.87508217797804644</v>
      </c>
      <c r="I8" s="17">
        <v>0.86659068015882201</v>
      </c>
      <c r="J8" s="17">
        <v>0.86648481905600905</v>
      </c>
      <c r="K8" s="17">
        <v>0.87404840839917119</v>
      </c>
      <c r="L8" s="17">
        <v>0.88878540691522845</v>
      </c>
      <c r="M8" s="17">
        <v>0.91019677405615507</v>
      </c>
      <c r="N8" s="17">
        <v>0.93760133687331826</v>
      </c>
      <c r="O8" s="17">
        <v>0.97021690337139854</v>
      </c>
      <c r="P8" s="17">
        <v>1.0072986221335634</v>
      </c>
      <c r="Q8" s="17">
        <v>1.048137048678883</v>
      </c>
      <c r="R8" s="17">
        <v>1.0920477316576465</v>
      </c>
      <c r="S8" s="17">
        <v>1.1383642703447017</v>
      </c>
      <c r="T8" s="17">
        <v>1.1864393530771826</v>
      </c>
      <c r="U8" s="17">
        <v>1.2356924941061345</v>
      </c>
      <c r="V8" s="17">
        <v>1.2856390304088634</v>
      </c>
      <c r="W8" s="17">
        <v>1.3358717123079584</v>
      </c>
      <c r="X8" s="17">
        <v>1.3860438744831742</v>
      </c>
      <c r="Y8" s="17">
        <v>1.4358568142303363</v>
      </c>
      <c r="Z8" s="17">
        <v>1.4850513454398488</v>
      </c>
      <c r="AA8" s="17">
        <v>1.5334123257117442</v>
      </c>
      <c r="AB8" s="17">
        <v>1.5807721774451708</v>
      </c>
      <c r="AC8" s="17">
        <v>1.6270034177865145</v>
      </c>
      <c r="AD8" s="17">
        <v>1.6720117457419315</v>
      </c>
      <c r="AE8" s="17">
        <v>1.7157305118673711</v>
      </c>
      <c r="AF8" s="17">
        <v>1.7581162583412169</v>
      </c>
      <c r="AG8" s="17">
        <v>1.7991450952732717</v>
      </c>
      <c r="AH8" s="17">
        <v>1.8388097358666449</v>
      </c>
      <c r="AI8" s="17">
        <v>1.8771170547864131</v>
      </c>
      <c r="AJ8" s="17">
        <v>1.9140860650936129</v>
      </c>
      <c r="AK8" s="17">
        <v>1.9497462323568981</v>
      </c>
      <c r="AL8" s="17">
        <v>1.9841357290244723</v>
      </c>
      <c r="AM8" s="17">
        <v>2.0172967208158594</v>
      </c>
      <c r="AN8" s="17">
        <v>2.0492713782841645</v>
      </c>
      <c r="AO8" s="17">
        <v>2.080101568069368</v>
      </c>
      <c r="AP8" s="17">
        <v>2.1098288899608875</v>
      </c>
      <c r="AQ8" s="17">
        <v>2.1384947086654975</v>
      </c>
      <c r="AR8" s="17">
        <v>2.1661401811425383</v>
      </c>
      <c r="AS8" s="17">
        <v>2.1928062802115553</v>
      </c>
      <c r="AT8" s="17">
        <v>2.218533815012298</v>
      </c>
      <c r="AU8" s="17">
        <v>2.2433634487959941</v>
      </c>
      <c r="AV8" s="17">
        <v>2.2673357144453936</v>
      </c>
      <c r="AW8" s="17">
        <v>2.2904910280548387</v>
      </c>
      <c r="AX8" s="17">
        <v>2.3128696264918309</v>
      </c>
      <c r="AY8" s="17">
        <v>2.3345105069021987</v>
      </c>
      <c r="AZ8" s="17">
        <v>2.3554502371872301</v>
      </c>
      <c r="BA8" s="17">
        <v>2.3757230350027347</v>
      </c>
      <c r="BB8" s="17">
        <v>2.3953609894704693</v>
      </c>
      <c r="BC8" s="17">
        <v>2.4143942582646165</v>
      </c>
      <c r="BD8" s="17">
        <v>2.4328512431979363</v>
      </c>
      <c r="BE8" s="17">
        <v>2.4507587469951027</v>
      </c>
      <c r="BF8" s="17">
        <v>2.4681421135635864</v>
      </c>
      <c r="BG8" s="17">
        <v>2.4850253537537643</v>
      </c>
      <c r="BH8" s="17">
        <v>2.5014312583298577</v>
      </c>
      <c r="BI8" s="17">
        <v>2.5173814996437716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1. fwd curve</vt:lpstr>
      <vt:lpstr>2.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2022-10-04T09:52:42Z</dcterms:created>
  <dcterms:modified xsi:type="dcterms:W3CDTF">2022-10-04T09:52:56Z</dcterms:modified>
</cp:coreProperties>
</file>